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ion" sheetId="1" state="visible" r:id="rId3"/>
    <sheet name="Sensitivity" sheetId="2" state="visible" r:id="rId4"/>
  </sheets>
  <definedNames>
    <definedName function="false" hidden="false" name="v_c" vbProcedure="false">Calculation!$C$10</definedName>
    <definedName function="false" hidden="false" name="v_m" vbProcedure="false">Calculation!$C$9</definedName>
    <definedName function="false" hidden="false" name="v_T1" vbProcedure="false">Calculation!$C$12</definedName>
    <definedName function="false" hidden="false" name="v_T2" vbProcedure="false">Calculation!$C$11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<sst xmlns="http://schemas.openxmlformats.org/spreadsheetml/2006/main" count="39" uniqueCount="38">
  <si>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Sensible heat</t>
  </si>
  <si>
    <t xml:space="preserve">Thermodynamics / Heat &amp; energy</t>
  </si>
  <si>
    <t xml:space="preserve">Formula</t>
  </si>
  <si>
    <t xml:space="preserve">Q = m*c*(T2 - T1)</t>
  </si>
  <si>
    <t xml:space="preserve">Solved for</t>
  </si>
  <si>
    <t xml:space="preserve">Q  [J]</t>
  </si>
  <si>
    <t xml:space="preserve">Rearranged</t>
  </si>
  <si>
    <t xml:space="preserve">Q = c*m*(-T1 + T2)</t>
  </si>
  <si>
    <t xml:space="preserve">Symbol</t>
  </si>
  <si>
    <t xml:space="preserve">Quantity</t>
  </si>
  <si>
    <t xml:space="preserve">Value</t>
  </si>
  <si>
    <t xml:space="preserve">Unit</t>
  </si>
  <si>
    <t xml:space="preserve">m</t>
  </si>
  <si>
    <t xml:space="preserve">Mass</t>
  </si>
  <si>
    <t xml:space="preserve">kg</t>
  </si>
  <si>
    <t xml:space="preserve">c</t>
  </si>
  <si>
    <t xml:space="preserve">Specific heat capacity</t>
  </si>
  <si>
    <t xml:space="preserve">J/(kg*K)</t>
  </si>
  <si>
    <t xml:space="preserve">T2</t>
  </si>
  <si>
    <t xml:space="preserve">Final temperature</t>
  </si>
  <si>
    <t xml:space="preserve">K</t>
  </si>
  <si>
    <t xml:space="preserve">T1</t>
  </si>
  <si>
    <t xml:space="preserve">Initial temperature</t>
  </si>
  <si>
    <t xml:space="preserve">RESULT</t>
  </si>
  <si>
    <t xml:space="preserve">Q</t>
  </si>
  <si>
    <t xml:space="preserve">J</t>
  </si>
  <si>
    <t xml:space="preserve">Excel formula used:</t>
  </si>
  <si>
    <t xml:space="preserve">'=v_c*v_m*(-v_T1+v_T2)</t>
  </si>
  <si>
    <t xml:space="preserve">Assumptions</t>
  </si>
  <si>
    <t xml:space="preserve">No phase change; c constant over the range.</t>
  </si>
  <si>
    <t xml:space="preserve">Generated by EngiCalc on 2026-09-04 09:17</t>
  </si>
  <si>
    <t xml:space="preserve">Legend</t>
  </si>
  <si>
    <t xml:space="preserve">Blue, shaded cells are inputs - edit these</t>
  </si>
  <si>
    <t xml:space="preserve">Black cells are live formulas - they recalculate automatically</t>
  </si>
  <si>
    <t xml:space="preserve">Sensitivity of Q to T2</t>
  </si>
  <si>
    <t xml:space="preserve">Every row is a live formula - edit the left column and the result follows.</t>
  </si>
  <si>
    <t xml:space="preserve">T2 [K]</t>
  </si>
  <si>
    <t xml:space="preserve">Q [J]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</si>
</sst>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 vs T2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Sensitivity!B4</c:f>
              <c:strCache>
                <c:ptCount val="1"/>
                <c:pt idx="0">
                  <c:v>Q [J]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Sensitivity!$A$5:$A$21</c:f>
              <c:strCache>
                <c:ptCount val="17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</c:strCache>
            </c:strRef>
          </c:cat>
          <c:val>
            <c:numRef>
              <c:f>Sensitivity!$B$5:$B$21</c:f>
              <c:numCache>
                <c:formatCode>0.000000</c:formatCode>
                <c:ptCount val="17"/>
                <c:pt idx="0">
                  <c:v>0</c:v>
                </c:pt>
                <c:pt idx="1">
                  <c:v>52325</c:v>
                </c:pt>
                <c:pt idx="2">
                  <c:v>104650</c:v>
                </c:pt>
                <c:pt idx="3">
                  <c:v>156975</c:v>
                </c:pt>
                <c:pt idx="4">
                  <c:v>209300</c:v>
                </c:pt>
                <c:pt idx="5">
                  <c:v>261625</c:v>
                </c:pt>
                <c:pt idx="6">
                  <c:v>313950</c:v>
                </c:pt>
                <c:pt idx="7">
                  <c:v>366275</c:v>
                </c:pt>
                <c:pt idx="8">
                  <c:v>418600</c:v>
                </c:pt>
                <c:pt idx="9">
                  <c:v>470925</c:v>
                </c:pt>
                <c:pt idx="10">
                  <c:v>523250</c:v>
                </c:pt>
                <c:pt idx="11">
                  <c:v>575575</c:v>
                </c:pt>
                <c:pt idx="12">
                  <c:v>627900</c:v>
                </c:pt>
                <c:pt idx="13">
                  <c:v>680225</c:v>
                </c:pt>
                <c:pt idx="14">
                  <c:v>732550</c:v>
                </c:pt>
                <c:pt idx="15">
                  <c:v>784875</c:v>
                </c:pt>
                <c:pt idx="16">
                  <c:v>837200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581887"/>
        <c:axId val="89166405"/>
      </c:lineChart>
      <c:catAx>
        <c:axId val="955818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T2 [K]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66405"/>
        <c:crosses val="autoZero"/>
        <c:auto val="1"/>
        <c:lblAlgn val="ctr"/>
        <c:lblOffset val="100"/>
        <c:noMultiLvlLbl val="0"/>
      </c:catAx>
      <c:valAx>
        <c:axId val="89166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Q [J]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81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13</xdr:col>
      <xdr:colOff>255960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625032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8" customFormat="false" ht="15" hidden="false" customHeight="false" outlineLevel="0" collapsed="false">
      <c r="A8" s="5" t="s">
        <v>8</v>
      </c>
      <c r="B8" s="5" t="s">
        <v>9</v>
      </c>
      <c r="C8" s="5" t="s">
        <v>10</v>
      </c>
      <c r="D8" s="5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  <c r="C9" s="6" t="n">
        <v>2.5</v>
      </c>
      <c r="D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  <c r="C10" s="6" t="n">
        <v>4186</v>
      </c>
      <c r="D10" s="4" t="s">
        <v>17</v>
      </c>
    </row>
    <row r="11" customFormat="false" ht="15" hidden="false" customHeight="false" outlineLevel="0" collapsed="false">
      <c r="A11" s="3" t="s">
        <v>18</v>
      </c>
      <c r="B11" s="4" t="s">
        <v>19</v>
      </c>
      <c r="C11" s="6" t="n">
        <v>80</v>
      </c>
      <c r="D11" s="4" t="s">
        <v>20</v>
      </c>
    </row>
    <row r="12" customFormat="false" ht="15" hidden="false" customHeight="false" outlineLevel="0" collapsed="false">
      <c r="A12" s="3" t="s">
        <v>21</v>
      </c>
      <c r="B12" s="4" t="s">
        <v>22</v>
      </c>
      <c r="C12" s="6" t="n">
        <v>20</v>
      </c>
      <c r="D12" s="4" t="s">
        <v>20</v>
      </c>
    </row>
    <row r="14" customFormat="false" ht="15" hidden="false" customHeight="false" outlineLevel="0" collapsed="false">
      <c r="A14" s="3" t="s">
        <v>23</v>
      </c>
      <c r="B14" s="3" t="s">
        <v>24</v>
      </c>
      <c r="C14" s="7" t="n">
        <f aca="false">v_c*v_m*(-v_T1+v_T2)</f>
        <v>627900</v>
      </c>
      <c r="D14" s="4" t="s">
        <v>25</v>
      </c>
    </row>
    <row r="15" customFormat="false" ht="15" hidden="false" customHeight="false" outlineLevel="0" collapsed="false">
      <c r="B15" s="2" t="s">
        <v>26</v>
      </c>
      <c r="C15" s="2" t="s">
        <v>27</v>
      </c>
    </row>
    <row r="17" customFormat="false" ht="15" hidden="false" customHeight="false" outlineLevel="0" collapsed="false">
      <c r="A17" s="3" t="s">
        <v>28</v>
      </c>
      <c r="B17" s="4" t="s">
        <v>29</v>
      </c>
    </row>
    <row r="18" customFormat="false" ht="15" hidden="false" customHeight="false" outlineLevel="0" collapsed="false">
      <c r="A18" s="2" t="s">
        <v>30</v>
      </c>
    </row>
    <row r="20" customFormat="false" ht="15" hidden="false" customHeight="false" outlineLevel="0" collapsed="false">
      <c r="A20" s="3" t="s">
        <v>31</v>
      </c>
    </row>
    <row r="21" customFormat="false" ht="15" hidden="false" customHeight="false" outlineLevel="0" collapsed="false">
      <c r="A21" s="8" t="s">
        <v>32</v>
      </c>
    </row>
    <row r="22" customFormat="false" ht="15" hidden="false" customHeight="false" outlineLevel="0" collapsed="false">
      <c r="A2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5" t="s">
        <v>36</v>
      </c>
      <c r="B4" s="5" t="s">
        <v>37</v>
      </c>
    </row>
    <row r="5" customFormat="false" ht="15" hidden="false" customHeight="false" outlineLevel="0" collapsed="false">
      <c r="A5" s="6" t="n">
        <v>20</v>
      </c>
      <c r="B5" s="9" t="n">
        <f aca="false">v_c*v_m*(-v_T1+$A5)</f>
        <v>0</v>
      </c>
    </row>
    <row r="6" customFormat="false" ht="15" hidden="false" customHeight="false" outlineLevel="0" collapsed="false">
      <c r="A6" s="6" t="n">
        <v>25</v>
      </c>
      <c r="B6" s="9" t="n">
        <f aca="false">v_c*v_m*(-v_T1+$A6)</f>
        <v>52325</v>
      </c>
    </row>
    <row r="7" customFormat="false" ht="15" hidden="false" customHeight="false" outlineLevel="0" collapsed="false">
      <c r="A7" s="6" t="n">
        <v>30</v>
      </c>
      <c r="B7" s="9" t="n">
        <f aca="false">v_c*v_m*(-v_T1+$A7)</f>
        <v>104650</v>
      </c>
    </row>
    <row r="8" customFormat="false" ht="15" hidden="false" customHeight="false" outlineLevel="0" collapsed="false">
      <c r="A8" s="6" t="n">
        <v>35</v>
      </c>
      <c r="B8" s="9" t="n">
        <f aca="false">v_c*v_m*(-v_T1+$A8)</f>
        <v>156975</v>
      </c>
    </row>
    <row r="9" customFormat="false" ht="15" hidden="false" customHeight="false" outlineLevel="0" collapsed="false">
      <c r="A9" s="6" t="n">
        <v>40</v>
      </c>
      <c r="B9" s="9" t="n">
        <f aca="false">v_c*v_m*(-v_T1+$A9)</f>
        <v>209300</v>
      </c>
    </row>
    <row r="10" customFormat="false" ht="15" hidden="false" customHeight="false" outlineLevel="0" collapsed="false">
      <c r="A10" s="6" t="n">
        <v>45</v>
      </c>
      <c r="B10" s="9" t="n">
        <f aca="false">v_c*v_m*(-v_T1+$A10)</f>
        <v>261625</v>
      </c>
    </row>
    <row r="11" customFormat="false" ht="15" hidden="false" customHeight="false" outlineLevel="0" collapsed="false">
      <c r="A11" s="6" t="n">
        <v>50</v>
      </c>
      <c r="B11" s="9" t="n">
        <f aca="false">v_c*v_m*(-v_T1+$A11)</f>
        <v>313950</v>
      </c>
    </row>
    <row r="12" customFormat="false" ht="15" hidden="false" customHeight="false" outlineLevel="0" collapsed="false">
      <c r="A12" s="6" t="n">
        <v>55</v>
      </c>
      <c r="B12" s="9" t="n">
        <f aca="false">v_c*v_m*(-v_T1+$A12)</f>
        <v>366275</v>
      </c>
    </row>
    <row r="13" customFormat="false" ht="15" hidden="false" customHeight="false" outlineLevel="0" collapsed="false">
      <c r="A13" s="6" t="n">
        <v>60</v>
      </c>
      <c r="B13" s="9" t="n">
        <f aca="false">v_c*v_m*(-v_T1+$A13)</f>
        <v>418600</v>
      </c>
    </row>
    <row r="14" customFormat="false" ht="15" hidden="false" customHeight="false" outlineLevel="0" collapsed="false">
      <c r="A14" s="6" t="n">
        <v>65</v>
      </c>
      <c r="B14" s="9" t="n">
        <f aca="false">v_c*v_m*(-v_T1+$A14)</f>
        <v>470925</v>
      </c>
    </row>
    <row r="15" customFormat="false" ht="15" hidden="false" customHeight="false" outlineLevel="0" collapsed="false">
      <c r="A15" s="6" t="n">
        <v>70</v>
      </c>
      <c r="B15" s="9" t="n">
        <f aca="false">v_c*v_m*(-v_T1+$A15)</f>
        <v>523250</v>
      </c>
    </row>
    <row r="16" customFormat="false" ht="15" hidden="false" customHeight="false" outlineLevel="0" collapsed="false">
      <c r="A16" s="6" t="n">
        <v>75</v>
      </c>
      <c r="B16" s="9" t="n">
        <f aca="false">v_c*v_m*(-v_T1+$A16)</f>
        <v>575575</v>
      </c>
    </row>
    <row r="17" customFormat="false" ht="15" hidden="false" customHeight="false" outlineLevel="0" collapsed="false">
      <c r="A17" s="6" t="n">
        <v>80</v>
      </c>
      <c r="B17" s="9" t="n">
        <f aca="false">v_c*v_m*(-v_T1+$A17)</f>
        <v>627900</v>
      </c>
    </row>
    <row r="18" customFormat="false" ht="15" hidden="false" customHeight="false" outlineLevel="0" collapsed="false">
      <c r="A18" s="6" t="n">
        <v>85</v>
      </c>
      <c r="B18" s="9" t="n">
        <f aca="false">v_c*v_m*(-v_T1+$A18)</f>
        <v>680225</v>
      </c>
    </row>
    <row r="19" customFormat="false" ht="15" hidden="false" customHeight="false" outlineLevel="0" collapsed="false">
      <c r="A19" s="6" t="n">
        <v>90</v>
      </c>
      <c r="B19" s="9" t="n">
        <f aca="false">v_c*v_m*(-v_T1+$A19)</f>
        <v>732550</v>
      </c>
    </row>
    <row r="20" customFormat="false" ht="15" hidden="false" customHeight="false" outlineLevel="0" collapsed="false">
      <c r="A20" s="6" t="n">
        <v>95</v>
      </c>
      <c r="B20" s="9" t="n">
        <f aca="false">v_c*v_m*(-v_T1+$A20)</f>
        <v>784875</v>
      </c>
    </row>
    <row r="21" customFormat="false" ht="15" hidden="false" customHeight="false" outlineLevel="0" collapsed="false">
      <c r="A21" s="6" t="n">
        <v>100</v>
      </c>
      <c r="B21" s="9" t="n">
        <f aca="false">v_c*v_m*(-v_T1+$A21)</f>
        <v>837200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2026-09-04T09:17:36Z</dcterms:created>
  <dc:creator>openpyxl</dc:creator>
  <dc:description/>
  <dc:language>en-US</dc:language>
  <cp:lastModifiedBy/>
  <dcterms:modified xsi:type="dcterms:W3CDTF">2026-09-04T09:17:39Z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