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ion" sheetId="1" state="visible" r:id="rId3"/>
    <sheet name="Sensitivity" sheetId="2" state="visible" r:id="rId4"/>
  </sheets>
  <definedNames>
    <definedName function="false" hidden="false" name="v_m" vbProcedure="false">Calculation!$C$9</definedName>
    <definedName function="false" hidden="false" name="v_machine_rate" vbProcedure="false">Calculation!$C$12</definedName>
    <definedName function="false" hidden="false" name="v_margin" vbProcedure="false">Calculation!$C$14</definedName>
    <definedName function="false" hidden="false" name="v_mat_rate" vbProcedure="false">Calculation!$C$10</definedName>
    <definedName function="false" hidden="false" name="v_setup" vbProcedure="false">Calculation!$C$13</definedName>
    <definedName function="false" hidden="false" name="v_t" vbProcedure="false">Calculation!$C$11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<sst xmlns="http://schemas.openxmlformats.org/spreadsheetml/2006/main" count="43" uniqueCount="42">
  <si>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Job price from material, time and margin</t>
  </si>
  <si>
    <t xml:space="preserve">Materials &amp; Manufacturing / 3D printing</t>
  </si>
  <si>
    <t xml:space="preserve">Formula</t>
  </si>
  <si>
    <t xml:space="preserve">Price = (m*mat_rate/1000 + t*machine_rate + setup)*(1 + margin)</t>
  </si>
  <si>
    <t xml:space="preserve">Solved for</t>
  </si>
  <si>
    <t xml:space="preserve">Price  [currency]</t>
  </si>
  <si>
    <t xml:space="preserve">Rearranged</t>
  </si>
  <si>
    <t xml:space="preserve">Price = m*margin*mat_rate/1000 + m*mat_rate/1000 + machine_rate*margin*t + machine_rate*t + margin*setup + setup</t>
  </si>
  <si>
    <t xml:space="preserve">Symbol</t>
  </si>
  <si>
    <t xml:space="preserve">Quantity</t>
  </si>
  <si>
    <t xml:space="preserve">Value</t>
  </si>
  <si>
    <t xml:space="preserve">Unit</t>
  </si>
  <si>
    <t xml:space="preserve">m</t>
  </si>
  <si>
    <t xml:space="preserve">Material used</t>
  </si>
  <si>
    <t xml:space="preserve">g</t>
  </si>
  <si>
    <t xml:space="preserve">mat_rate</t>
  </si>
  <si>
    <t xml:space="preserve">Material cost per kg</t>
  </si>
  <si>
    <t xml:space="preserve">currency/kg</t>
  </si>
  <si>
    <t xml:space="preserve">t</t>
  </si>
  <si>
    <t xml:space="preserve">Machine time</t>
  </si>
  <si>
    <t xml:space="preserve">h</t>
  </si>
  <si>
    <t xml:space="preserve">machine_rate</t>
  </si>
  <si>
    <t xml:space="preserve">Machine + overhead rate per hour</t>
  </si>
  <si>
    <t xml:space="preserve">currency/h</t>
  </si>
  <si>
    <t xml:space="preserve">setup</t>
  </si>
  <si>
    <t xml:space="preserve">Setup and post-processing labour</t>
  </si>
  <si>
    <t xml:space="preserve">currency</t>
  </si>
  <si>
    <t xml:space="preserve">margin</t>
  </si>
  <si>
    <t xml:space="preserve">Margin as a fraction</t>
  </si>
  <si>
    <t xml:space="preserve">-</t>
  </si>
  <si>
    <t xml:space="preserve">RESULT</t>
  </si>
  <si>
    <t xml:space="preserve">Price</t>
  </si>
  <si>
    <t xml:space="preserve">Excel formula used:</t>
  </si>
  <si>
    <t xml:space="preserve">'=(v_m*v_margin*v_mat_rate/(1000))+(v_m*v_mat_rate/(1000))+v_machine_rate*v_margin*v_t+v_machine_rate*v_t+v_margin*v_setup+v_setup</t>
  </si>
  <si>
    <t xml:space="preserve">Generated by EngiCalc on 2026-09-04 09:35</t>
  </si>
  <si>
    <t xml:space="preserve">Legend</t>
  </si>
  <si>
    <t xml:space="preserve">Blue, shaded cells are inputs - edit these</t>
  </si>
  <si>
    <t xml:space="preserve">Black cells are live formulas - they recalculate automatically</t>
  </si>
  <si>
    <t xml:space="preserve">Sensitivity of Price to t</t>
  </si>
  <si>
    <t xml:space="preserve">Every row is a live formula - edit the left column and the result follows.</t>
  </si>
  <si>
    <t xml:space="preserve">t [h]</t>
  </si>
  <si>
    <t xml:space="preserve">Price [currency]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</si>
</sst>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Price vs 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Sensitivity!B4</c:f>
              <c:strCache>
                <c:ptCount val="1"/>
                <c:pt idx="0">
                  <c:v>Price [currency]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Sensitivity!$B$5:$B$16</c:f>
              <c:numCache>
                <c:formatCode>0.000000</c:formatCode>
                <c:ptCount val="12"/>
                <c:pt idx="0">
                  <c:v>25.61625</c:v>
                </c:pt>
                <c:pt idx="1">
                  <c:v>31.01625</c:v>
                </c:pt>
                <c:pt idx="2">
                  <c:v>36.41625</c:v>
                </c:pt>
                <c:pt idx="3">
                  <c:v>41.81625</c:v>
                </c:pt>
                <c:pt idx="4">
                  <c:v>47.21625</c:v>
                </c:pt>
                <c:pt idx="5">
                  <c:v>52.61625</c:v>
                </c:pt>
                <c:pt idx="6">
                  <c:v>58.01625</c:v>
                </c:pt>
                <c:pt idx="7">
                  <c:v>63.41625</c:v>
                </c:pt>
                <c:pt idx="8">
                  <c:v>68.81625</c:v>
                </c:pt>
                <c:pt idx="9">
                  <c:v>74.21625</c:v>
                </c:pt>
                <c:pt idx="10">
                  <c:v>79.61625</c:v>
                </c:pt>
                <c:pt idx="11">
                  <c:v>85.01625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413725"/>
        <c:axId val="26236726"/>
      </c:lineChart>
      <c:catAx>
        <c:axId val="694137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[h]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36726"/>
        <c:crosses val="autoZero"/>
        <c:auto val="1"/>
        <c:lblAlgn val="ctr"/>
        <c:lblOffset val="100"/>
        <c:noMultiLvlLbl val="0"/>
      </c:catAx>
      <c:valAx>
        <c:axId val="262367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[currency]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137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13</xdr:col>
      <xdr:colOff>255960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625032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8" customFormat="false" ht="15" hidden="false" customHeight="false" outlineLevel="0" collapsed="false">
      <c r="A8" s="5" t="s">
        <v>8</v>
      </c>
      <c r="B8" s="5" t="s">
        <v>9</v>
      </c>
      <c r="C8" s="5" t="s">
        <v>10</v>
      </c>
      <c r="D8" s="5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  <c r="C9" s="6" t="n">
        <v>85</v>
      </c>
      <c r="D9" s="4" t="s">
        <v>14</v>
      </c>
    </row>
    <row r="10" customFormat="false" ht="15" hidden="false" customHeight="false" outlineLevel="0" collapsed="false">
      <c r="A10" s="3" t="s">
        <v>15</v>
      </c>
      <c r="B10" s="4" t="s">
        <v>16</v>
      </c>
      <c r="C10" s="6" t="n">
        <v>35</v>
      </c>
      <c r="D10" s="4" t="s">
        <v>17</v>
      </c>
    </row>
    <row r="11" customFormat="false" ht="15" hidden="false" customHeight="false" outlineLevel="0" collapsed="false">
      <c r="A11" s="3" t="s">
        <v>18</v>
      </c>
      <c r="B11" s="4" t="s">
        <v>19</v>
      </c>
      <c r="C11" s="6" t="n">
        <v>6.5</v>
      </c>
      <c r="D11" s="4" t="s">
        <v>20</v>
      </c>
    </row>
    <row r="12" customFormat="false" ht="15" hidden="false" customHeight="false" outlineLevel="0" collapsed="false">
      <c r="A12" s="3" t="s">
        <v>21</v>
      </c>
      <c r="B12" s="4" t="s">
        <v>22</v>
      </c>
      <c r="C12" s="6" t="n">
        <v>4</v>
      </c>
      <c r="D12" s="4" t="s">
        <v>23</v>
      </c>
    </row>
    <row r="13" customFormat="false" ht="15" hidden="false" customHeight="false" outlineLevel="0" collapsed="false">
      <c r="A13" s="3" t="s">
        <v>24</v>
      </c>
      <c r="B13" s="4" t="s">
        <v>25</v>
      </c>
      <c r="C13" s="6" t="n">
        <v>12</v>
      </c>
      <c r="D13" s="4" t="s">
        <v>26</v>
      </c>
    </row>
    <row r="14" customFormat="false" ht="15" hidden="false" customHeight="false" outlineLevel="0" collapsed="false">
      <c r="A14" s="3" t="s">
        <v>27</v>
      </c>
      <c r="B14" s="4" t="s">
        <v>28</v>
      </c>
      <c r="C14" s="6" t="n">
        <v>0.35</v>
      </c>
      <c r="D14" s="4" t="s">
        <v>29</v>
      </c>
    </row>
    <row r="16" customFormat="false" ht="15" hidden="false" customHeight="false" outlineLevel="0" collapsed="false">
      <c r="A16" s="3" t="s">
        <v>30</v>
      </c>
      <c r="B16" s="3" t="s">
        <v>31</v>
      </c>
      <c r="C16" s="7" t="n">
        <f aca="false">(v_m*v_margin*v_mat_rate/(1000))+(v_m*v_mat_rate/(1000))+v_machine_rate*v_margin*v_t+v_machine_rate*v_t+v_margin*v_setup+v_setup</f>
        <v>55.31625</v>
      </c>
      <c r="D16" s="4" t="s">
        <v>26</v>
      </c>
    </row>
    <row r="17" customFormat="false" ht="15" hidden="false" customHeight="false" outlineLevel="0" collapsed="false">
      <c r="B17" s="2" t="s">
        <v>32</v>
      </c>
      <c r="C17" s="2" t="s">
        <v>33</v>
      </c>
    </row>
    <row r="19" customFormat="false" ht="15" hidden="false" customHeight="false" outlineLevel="0" collapsed="false">
      <c r="A19" s="2" t="s">
        <v>34</v>
      </c>
    </row>
    <row r="21" customFormat="false" ht="15" hidden="false" customHeight="false" outlineLevel="0" collapsed="false">
      <c r="A21" s="3" t="s">
        <v>35</v>
      </c>
    </row>
    <row r="22" customFormat="false" ht="15" hidden="false" customHeight="false" outlineLevel="0" collapsed="false">
      <c r="A22" s="8" t="s">
        <v>36</v>
      </c>
    </row>
    <row r="23" customFormat="false" ht="15" hidden="false" customHeight="false" outlineLevel="0" collapsed="false">
      <c r="A23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15" hidden="false" customHeight="false" outlineLevel="0" collapsed="false">
      <c r="A4" s="5" t="s">
        <v>40</v>
      </c>
      <c r="B4" s="5" t="s">
        <v>41</v>
      </c>
    </row>
    <row r="5" customFormat="false" ht="15" hidden="false" customHeight="false" outlineLevel="0" collapsed="false">
      <c r="A5" s="6" t="n">
        <v>1</v>
      </c>
      <c r="B5" s="9" t="n">
        <f aca="false">(v_m*v_margin*v_mat_rate/(1000))+(v_m*v_mat_rate/(1000))+v_machine_rate*v_margin*$A5+v_machine_rate*$A5+v_margin*v_setup+v_setup</f>
        <v>25.61625</v>
      </c>
    </row>
    <row r="6" customFormat="false" ht="15" hidden="false" customHeight="false" outlineLevel="0" collapsed="false">
      <c r="A6" s="6" t="n">
        <v>2</v>
      </c>
      <c r="B6" s="9" t="n">
        <f aca="false">(v_m*v_margin*v_mat_rate/(1000))+(v_m*v_mat_rate/(1000))+v_machine_rate*v_margin*$A6+v_machine_rate*$A6+v_margin*v_setup+v_setup</f>
        <v>31.01625</v>
      </c>
    </row>
    <row r="7" customFormat="false" ht="15" hidden="false" customHeight="false" outlineLevel="0" collapsed="false">
      <c r="A7" s="6" t="n">
        <v>3</v>
      </c>
      <c r="B7" s="9" t="n">
        <f aca="false">(v_m*v_margin*v_mat_rate/(1000))+(v_m*v_mat_rate/(1000))+v_machine_rate*v_margin*$A7+v_machine_rate*$A7+v_margin*v_setup+v_setup</f>
        <v>36.41625</v>
      </c>
    </row>
    <row r="8" customFormat="false" ht="15" hidden="false" customHeight="false" outlineLevel="0" collapsed="false">
      <c r="A8" s="6" t="n">
        <v>4</v>
      </c>
      <c r="B8" s="9" t="n">
        <f aca="false">(v_m*v_margin*v_mat_rate/(1000))+(v_m*v_mat_rate/(1000))+v_machine_rate*v_margin*$A8+v_machine_rate*$A8+v_margin*v_setup+v_setup</f>
        <v>41.81625</v>
      </c>
    </row>
    <row r="9" customFormat="false" ht="15" hidden="false" customHeight="false" outlineLevel="0" collapsed="false">
      <c r="A9" s="6" t="n">
        <v>5</v>
      </c>
      <c r="B9" s="9" t="n">
        <f aca="false">(v_m*v_margin*v_mat_rate/(1000))+(v_m*v_mat_rate/(1000))+v_machine_rate*v_margin*$A9+v_machine_rate*$A9+v_margin*v_setup+v_setup</f>
        <v>47.21625</v>
      </c>
    </row>
    <row r="10" customFormat="false" ht="15" hidden="false" customHeight="false" outlineLevel="0" collapsed="false">
      <c r="A10" s="6" t="n">
        <v>6</v>
      </c>
      <c r="B10" s="9" t="n">
        <f aca="false">(v_m*v_margin*v_mat_rate/(1000))+(v_m*v_mat_rate/(1000))+v_machine_rate*v_margin*$A10+v_machine_rate*$A10+v_margin*v_setup+v_setup</f>
        <v>52.61625</v>
      </c>
    </row>
    <row r="11" customFormat="false" ht="15" hidden="false" customHeight="false" outlineLevel="0" collapsed="false">
      <c r="A11" s="6" t="n">
        <v>7</v>
      </c>
      <c r="B11" s="9" t="n">
        <f aca="false">(v_m*v_margin*v_mat_rate/(1000))+(v_m*v_mat_rate/(1000))+v_machine_rate*v_margin*$A11+v_machine_rate*$A11+v_margin*v_setup+v_setup</f>
        <v>58.01625</v>
      </c>
    </row>
    <row r="12" customFormat="false" ht="15" hidden="false" customHeight="false" outlineLevel="0" collapsed="false">
      <c r="A12" s="6" t="n">
        <v>8</v>
      </c>
      <c r="B12" s="9" t="n">
        <f aca="false">(v_m*v_margin*v_mat_rate/(1000))+(v_m*v_mat_rate/(1000))+v_machine_rate*v_margin*$A12+v_machine_rate*$A12+v_margin*v_setup+v_setup</f>
        <v>63.41625</v>
      </c>
    </row>
    <row r="13" customFormat="false" ht="15" hidden="false" customHeight="false" outlineLevel="0" collapsed="false">
      <c r="A13" s="6" t="n">
        <v>9</v>
      </c>
      <c r="B13" s="9" t="n">
        <f aca="false">(v_m*v_margin*v_mat_rate/(1000))+(v_m*v_mat_rate/(1000))+v_machine_rate*v_margin*$A13+v_machine_rate*$A13+v_margin*v_setup+v_setup</f>
        <v>68.81625</v>
      </c>
    </row>
    <row r="14" customFormat="false" ht="15" hidden="false" customHeight="false" outlineLevel="0" collapsed="false">
      <c r="A14" s="6" t="n">
        <v>10</v>
      </c>
      <c r="B14" s="9" t="n">
        <f aca="false">(v_m*v_margin*v_mat_rate/(1000))+(v_m*v_mat_rate/(1000))+v_machine_rate*v_margin*$A14+v_machine_rate*$A14+v_margin*v_setup+v_setup</f>
        <v>74.21625</v>
      </c>
    </row>
    <row r="15" customFormat="false" ht="15" hidden="false" customHeight="false" outlineLevel="0" collapsed="false">
      <c r="A15" s="6" t="n">
        <v>11</v>
      </c>
      <c r="B15" s="9" t="n">
        <f aca="false">(v_m*v_margin*v_mat_rate/(1000))+(v_m*v_mat_rate/(1000))+v_machine_rate*v_margin*$A15+v_machine_rate*$A15+v_margin*v_setup+v_setup</f>
        <v>79.61625</v>
      </c>
    </row>
    <row r="16" customFormat="false" ht="15" hidden="false" customHeight="false" outlineLevel="0" collapsed="false">
      <c r="A16" s="6" t="n">
        <v>12</v>
      </c>
      <c r="B16" s="9" t="n">
        <f aca="false">(v_m*v_margin*v_mat_rate/(1000))+(v_m*v_mat_rate/(1000))+v_machine_rate*v_margin*$A16+v_machine_rate*$A16+v_margin*v_setup+v_setup</f>
        <v>85.01625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2026-09-04T09:35:01Z</dcterms:created>
  <dc:creator>openpyxl</dc:creator>
  <dc:description/>
  <dc:language>en-US</dc:language>
  <cp:lastModifiedBy/>
  <dcterms:modified xsi:type="dcterms:W3CDTF">2026-09-04T09:35:03Z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